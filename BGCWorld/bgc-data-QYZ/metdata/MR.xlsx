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2" i="1" l="1"/>
  <c r="D4" i="1"/>
  <c r="G2" i="1"/>
  <c r="L3" i="1"/>
  <c r="L39" i="1"/>
  <c r="L40" i="1"/>
  <c r="L41" i="1"/>
  <c r="L42" i="1"/>
  <c r="L43" i="1"/>
  <c r="L44" i="1"/>
  <c r="L45" i="1"/>
  <c r="L46" i="1"/>
  <c r="L47" i="1"/>
  <c r="L48" i="1"/>
  <c r="L38" i="1"/>
  <c r="L12" i="1"/>
  <c r="L11" i="1"/>
  <c r="L10" i="1"/>
  <c r="L4" i="1"/>
  <c r="L5" i="1"/>
  <c r="L6" i="1"/>
  <c r="L7" i="1"/>
  <c r="L8" i="1"/>
  <c r="L9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11" i="1"/>
  <c r="F2" i="1"/>
  <c r="E2" i="1"/>
  <c r="I2" i="1" l="1"/>
  <c r="J2" i="1" s="1"/>
  <c r="N2" i="1" s="1"/>
  <c r="K2" i="1"/>
  <c r="L2" i="1"/>
</calcChain>
</file>

<file path=xl/sharedStrings.xml><?xml version="1.0" encoding="utf-8"?>
<sst xmlns="http://schemas.openxmlformats.org/spreadsheetml/2006/main" count="11" uniqueCount="11">
  <si>
    <t>tday</t>
    <phoneticPr fontId="1" type="noConversion"/>
  </si>
  <si>
    <t>tmax</t>
    <phoneticPr fontId="1" type="noConversion"/>
  </si>
  <si>
    <t>tmin</t>
    <phoneticPr fontId="1" type="noConversion"/>
  </si>
  <si>
    <t>tmean</t>
    <phoneticPr fontId="1" type="noConversion"/>
  </si>
  <si>
    <t>tnight</t>
    <phoneticPr fontId="1" type="noConversion"/>
  </si>
  <si>
    <t>day-mr</t>
    <phoneticPr fontId="1" type="noConversion"/>
  </si>
  <si>
    <t>hourly-mr-mean-day</t>
    <phoneticPr fontId="1" type="noConversion"/>
  </si>
  <si>
    <t>hourly-mr-mean-night</t>
    <phoneticPr fontId="1" type="noConversion"/>
  </si>
  <si>
    <t>night-mr</t>
    <phoneticPr fontId="1" type="noConversion"/>
  </si>
  <si>
    <t>tday-hourly-mean</t>
    <phoneticPr fontId="1" type="noConversion"/>
  </si>
  <si>
    <t>tnight-hourly-mean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</si>
</sst>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workbookViewId="0">
      <selection activeCell="K13" sqref="K13"/>
    </sheetView>
  </sheetViews>
  <sheetFormatPr defaultRowHeight="14.4" x14ac:dyDescent="0.25"/>
  <cols>
    <col min="11" max="11" width="14.109375" customWidth="1"/>
  </cols>
  <sheetData>
    <row r="1" spans="1:14" x14ac:dyDescent="0.25">
      <c r="A1" s="1">
        <v>25.62</v>
      </c>
      <c r="B1" s="1">
        <v>0</v>
      </c>
      <c r="D1" t="s">
        <v>9</v>
      </c>
      <c r="E1" t="s">
        <v>1</v>
      </c>
      <c r="F1" t="s">
        <v>2</v>
      </c>
      <c r="G1" t="s">
        <v>3</v>
      </c>
      <c r="I1" t="s">
        <v>0</v>
      </c>
      <c r="J1" t="s">
        <v>4</v>
      </c>
      <c r="K1" t="s">
        <v>6</v>
      </c>
      <c r="L1" t="s">
        <v>7</v>
      </c>
      <c r="M1" t="s">
        <v>5</v>
      </c>
      <c r="N1" t="s">
        <v>8</v>
      </c>
    </row>
    <row r="2" spans="1:14" x14ac:dyDescent="0.25">
      <c r="A2" s="1">
        <v>25.08</v>
      </c>
      <c r="B2" s="1">
        <v>0</v>
      </c>
      <c r="D2">
        <f>AVERAGE(A1:A10,A38:A48)</f>
        <v>27.96380952380952</v>
      </c>
      <c r="E2">
        <f>MAX(A:A)</f>
        <v>36.14</v>
      </c>
      <c r="F2">
        <f>MIN(A:A)</f>
        <v>23.78</v>
      </c>
      <c r="G2">
        <f>AVERAGE(A:A)</f>
        <v>29.914999999999996</v>
      </c>
      <c r="I2">
        <f>0.45 * (E2 - G2) + G2</f>
        <v>32.716249999999995</v>
      </c>
      <c r="J2">
        <f>(I2+F2)/2</f>
        <v>28.248124999999998</v>
      </c>
      <c r="K2">
        <f>AVERAGE(K11:K37)</f>
        <v>0.49864333361368379</v>
      </c>
      <c r="L2">
        <f>AVERAGE(L3:L48)</f>
        <v>0.3863370946862586</v>
      </c>
      <c r="M2">
        <v>0.33584799999999998</v>
      </c>
      <c r="N2">
        <f>0.218*POWER(2, (J2-20)/10)</f>
        <v>0.38614444976669832</v>
      </c>
    </row>
    <row r="3" spans="1:14" x14ac:dyDescent="0.25">
      <c r="A3" s="1">
        <v>25.51</v>
      </c>
      <c r="B3" s="1">
        <v>0</v>
      </c>
      <c r="D3" t="s">
        <v>10</v>
      </c>
      <c r="L3">
        <f>0.218*POWER(2, (A1-20)/10)</f>
        <v>0.32183654043885762</v>
      </c>
    </row>
    <row r="4" spans="1:14" x14ac:dyDescent="0.25">
      <c r="A4" s="1">
        <v>25.89</v>
      </c>
      <c r="B4" s="1">
        <v>0</v>
      </c>
      <c r="D4">
        <f>AVERAGE(A11:A37)</f>
        <v>31.432592592592592</v>
      </c>
      <c r="L4">
        <f>0.218*POWER(2, (A2-20)/10)</f>
        <v>0.31001287550802581</v>
      </c>
    </row>
    <row r="5" spans="1:14" x14ac:dyDescent="0.25">
      <c r="A5" s="1">
        <v>25.69</v>
      </c>
      <c r="B5" s="1">
        <v>0</v>
      </c>
      <c r="L5">
        <f>0.218*POWER(2, (A3-20)/10)</f>
        <v>0.31939199066527163</v>
      </c>
    </row>
    <row r="6" spans="1:14" x14ac:dyDescent="0.25">
      <c r="A6" s="1">
        <v>25.44</v>
      </c>
      <c r="B6" s="1">
        <v>0</v>
      </c>
      <c r="L6">
        <f>0.218*POWER(2, (A4-20)/10)</f>
        <v>0.32791641780273389</v>
      </c>
    </row>
    <row r="7" spans="1:14" x14ac:dyDescent="0.25">
      <c r="A7" s="1">
        <v>24.8</v>
      </c>
      <c r="B7" s="1">
        <v>0</v>
      </c>
      <c r="L7">
        <f>0.218*POWER(2, (A5-20)/10)</f>
        <v>0.3234018955773646</v>
      </c>
    </row>
    <row r="8" spans="1:14" x14ac:dyDescent="0.25">
      <c r="A8" s="1">
        <v>24.45</v>
      </c>
      <c r="B8" s="1">
        <v>0</v>
      </c>
      <c r="L8">
        <f>0.218*POWER(2, (A6-20)/10)</f>
        <v>0.31784604458201426</v>
      </c>
    </row>
    <row r="9" spans="1:14" x14ac:dyDescent="0.25">
      <c r="A9" s="1">
        <v>24.39</v>
      </c>
      <c r="B9" s="1">
        <v>0</v>
      </c>
      <c r="L9">
        <f>0.218*POWER(2, (A7-20)/10)</f>
        <v>0.30405411926438841</v>
      </c>
    </row>
    <row r="10" spans="1:14" x14ac:dyDescent="0.25">
      <c r="A10" s="1">
        <v>24.39</v>
      </c>
      <c r="B10" s="1">
        <v>0</v>
      </c>
      <c r="L10">
        <f>0.218*POWER(2, (A8-20)/10)</f>
        <v>0.29676647739688516</v>
      </c>
    </row>
    <row r="11" spans="1:14" x14ac:dyDescent="0.25">
      <c r="A11" s="1">
        <v>23.88</v>
      </c>
      <c r="B11" s="1">
        <v>0.97599999999999998</v>
      </c>
      <c r="K11">
        <f>0.218*POWER(2, (A11-20)/10)</f>
        <v>0.28527001957719222</v>
      </c>
      <c r="L11">
        <f>0.218*POWER(2, (A9-20)/10)</f>
        <v>0.29553482324240021</v>
      </c>
    </row>
    <row r="12" spans="1:14" x14ac:dyDescent="0.25">
      <c r="A12" s="1">
        <v>23.78</v>
      </c>
      <c r="B12" s="1">
        <v>19.791</v>
      </c>
      <c r="K12">
        <f t="shared" ref="K12:K37" si="0">0.218*POWER(2, (A12-20)/10)</f>
        <v>0.28329951561528594</v>
      </c>
      <c r="L12">
        <f>0.218*POWER(2, (A10-20)/10)</f>
        <v>0.29553482324240021</v>
      </c>
    </row>
    <row r="13" spans="1:14" x14ac:dyDescent="0.25">
      <c r="A13" s="1">
        <v>24.01</v>
      </c>
      <c r="B13" s="1">
        <v>57.194000000000003</v>
      </c>
      <c r="K13">
        <f t="shared" si="0"/>
        <v>0.28785217934127005</v>
      </c>
    </row>
    <row r="14" spans="1:14" x14ac:dyDescent="0.25">
      <c r="A14" s="1">
        <v>25.03</v>
      </c>
      <c r="B14" s="1">
        <v>113.629</v>
      </c>
      <c r="K14">
        <f t="shared" si="0"/>
        <v>0.30894031243879122</v>
      </c>
    </row>
    <row r="15" spans="1:14" x14ac:dyDescent="0.25">
      <c r="A15" s="1">
        <v>26.21</v>
      </c>
      <c r="B15" s="1">
        <v>255.13900000000001</v>
      </c>
      <c r="K15">
        <f t="shared" si="0"/>
        <v>0.33527110121691861</v>
      </c>
    </row>
    <row r="16" spans="1:14" x14ac:dyDescent="0.25">
      <c r="A16" s="1">
        <v>28.01</v>
      </c>
      <c r="B16" s="1">
        <v>473.02600000000001</v>
      </c>
      <c r="K16">
        <f t="shared" si="0"/>
        <v>0.37982322777402378</v>
      </c>
    </row>
    <row r="17" spans="1:11" x14ac:dyDescent="0.25">
      <c r="A17" s="1">
        <v>28.43</v>
      </c>
      <c r="B17" s="1">
        <v>407.59300000000002</v>
      </c>
      <c r="K17">
        <f t="shared" si="0"/>
        <v>0.39104323761263843</v>
      </c>
    </row>
    <row r="18" spans="1:11" x14ac:dyDescent="0.25">
      <c r="A18" s="1">
        <v>29.25</v>
      </c>
      <c r="B18" s="1">
        <v>571.798</v>
      </c>
      <c r="K18">
        <f t="shared" si="0"/>
        <v>0.41391316473442635</v>
      </c>
    </row>
    <row r="19" spans="1:11" x14ac:dyDescent="0.25">
      <c r="A19" s="1">
        <v>29.86</v>
      </c>
      <c r="B19" s="1">
        <v>654.12300000000005</v>
      </c>
      <c r="K19">
        <f t="shared" si="0"/>
        <v>0.43178949216279872</v>
      </c>
    </row>
    <row r="20" spans="1:11" x14ac:dyDescent="0.25">
      <c r="A20" s="1">
        <v>30.54</v>
      </c>
      <c r="B20" s="1">
        <v>767.85699999999997</v>
      </c>
      <c r="K20">
        <f t="shared" si="0"/>
        <v>0.45262872195677284</v>
      </c>
    </row>
    <row r="21" spans="1:11" x14ac:dyDescent="0.25">
      <c r="A21" s="1">
        <v>31.23</v>
      </c>
      <c r="B21" s="1">
        <v>617.35199999999998</v>
      </c>
      <c r="K21">
        <f t="shared" si="0"/>
        <v>0.4748026986865424</v>
      </c>
    </row>
    <row r="22" spans="1:11" x14ac:dyDescent="0.25">
      <c r="A22" s="1">
        <v>32.01</v>
      </c>
      <c r="B22" s="1">
        <v>728.97500000000002</v>
      </c>
      <c r="K22">
        <f t="shared" si="0"/>
        <v>0.50117975374311907</v>
      </c>
    </row>
    <row r="23" spans="1:11" x14ac:dyDescent="0.25">
      <c r="A23" s="1">
        <v>32.119999999999997</v>
      </c>
      <c r="B23" s="1">
        <v>523.19799999999998</v>
      </c>
      <c r="K23">
        <f t="shared" si="0"/>
        <v>0.50501566350086435</v>
      </c>
    </row>
    <row r="24" spans="1:11" x14ac:dyDescent="0.25">
      <c r="A24" s="1">
        <v>32.909999999999997</v>
      </c>
      <c r="B24" s="1">
        <v>731.202</v>
      </c>
      <c r="K24">
        <f t="shared" si="0"/>
        <v>0.53344078593349364</v>
      </c>
    </row>
    <row r="25" spans="1:11" x14ac:dyDescent="0.25">
      <c r="A25" s="1">
        <v>33.479999999999997</v>
      </c>
      <c r="B25" s="1">
        <v>739.68600000000004</v>
      </c>
      <c r="K25">
        <f t="shared" si="0"/>
        <v>0.55493859178031102</v>
      </c>
    </row>
    <row r="26" spans="1:11" x14ac:dyDescent="0.25">
      <c r="A26" s="1">
        <v>33.61</v>
      </c>
      <c r="B26" s="1">
        <v>863.55399999999997</v>
      </c>
      <c r="K26">
        <f t="shared" si="0"/>
        <v>0.55996169271938956</v>
      </c>
    </row>
    <row r="27" spans="1:11" x14ac:dyDescent="0.25">
      <c r="A27" s="1">
        <v>34.11</v>
      </c>
      <c r="B27" s="1">
        <v>690.60400000000004</v>
      </c>
      <c r="K27">
        <f t="shared" si="0"/>
        <v>0.57970869916722767</v>
      </c>
    </row>
    <row r="28" spans="1:11" x14ac:dyDescent="0.25">
      <c r="A28" s="1">
        <v>34.5</v>
      </c>
      <c r="B28" s="1">
        <v>787.072</v>
      </c>
      <c r="K28">
        <f t="shared" si="0"/>
        <v>0.59559355194491637</v>
      </c>
    </row>
    <row r="29" spans="1:11" x14ac:dyDescent="0.25">
      <c r="A29" s="1">
        <v>34.56</v>
      </c>
      <c r="B29" s="1">
        <v>691.16300000000001</v>
      </c>
      <c r="K29">
        <f t="shared" si="0"/>
        <v>0.59807571382550051</v>
      </c>
    </row>
    <row r="30" spans="1:11" x14ac:dyDescent="0.25">
      <c r="A30" s="1">
        <v>34.76</v>
      </c>
      <c r="B30" s="1">
        <v>349.66899999999998</v>
      </c>
      <c r="K30">
        <f t="shared" si="0"/>
        <v>0.60642453966555465</v>
      </c>
    </row>
    <row r="31" spans="1:11" x14ac:dyDescent="0.25">
      <c r="A31" s="1">
        <v>35.590000000000003</v>
      </c>
      <c r="B31" s="1">
        <v>429.911</v>
      </c>
      <c r="K31">
        <f t="shared" si="0"/>
        <v>0.6423359910159856</v>
      </c>
    </row>
    <row r="32" spans="1:11" x14ac:dyDescent="0.25">
      <c r="A32" s="1">
        <v>36.04</v>
      </c>
      <c r="B32" s="1">
        <v>375.18</v>
      </c>
      <c r="K32">
        <f t="shared" si="0"/>
        <v>0.66268723739106083</v>
      </c>
    </row>
    <row r="33" spans="1:12" x14ac:dyDescent="0.25">
      <c r="A33" s="1">
        <v>36.14</v>
      </c>
      <c r="B33" s="1">
        <v>360.892</v>
      </c>
      <c r="K33">
        <f t="shared" si="0"/>
        <v>0.66729659164268307</v>
      </c>
    </row>
    <row r="34" spans="1:12" x14ac:dyDescent="0.25">
      <c r="A34" s="1">
        <v>35.729999999999997</v>
      </c>
      <c r="B34" s="1">
        <v>239.03899999999999</v>
      </c>
      <c r="K34">
        <f t="shared" si="0"/>
        <v>0.64859960042144416</v>
      </c>
    </row>
    <row r="35" spans="1:12" x14ac:dyDescent="0.25">
      <c r="A35" s="1">
        <v>35.119999999999997</v>
      </c>
      <c r="B35" s="1">
        <v>115.88500000000001</v>
      </c>
      <c r="K35">
        <f t="shared" si="0"/>
        <v>0.62174721277076528</v>
      </c>
    </row>
    <row r="36" spans="1:12" x14ac:dyDescent="0.25">
      <c r="A36" s="1">
        <v>34.19</v>
      </c>
      <c r="B36" s="1">
        <v>30.52</v>
      </c>
      <c r="K36">
        <f t="shared" si="0"/>
        <v>0.58293221599663836</v>
      </c>
    </row>
    <row r="37" spans="1:12" x14ac:dyDescent="0.25">
      <c r="A37" s="1">
        <v>33.58</v>
      </c>
      <c r="B37" s="1">
        <v>1.847</v>
      </c>
      <c r="K37">
        <f t="shared" si="0"/>
        <v>0.55879849493384404</v>
      </c>
    </row>
    <row r="38" spans="1:12" x14ac:dyDescent="0.25">
      <c r="A38" s="1">
        <v>33.04</v>
      </c>
      <c r="B38" s="1">
        <v>0</v>
      </c>
      <c r="L38">
        <f>0.218*POWER(2, (A38-20)/10)</f>
        <v>0.53826929660558265</v>
      </c>
    </row>
    <row r="39" spans="1:12" x14ac:dyDescent="0.25">
      <c r="A39" s="1">
        <v>32.31</v>
      </c>
      <c r="B39" s="1">
        <v>0</v>
      </c>
      <c r="L39">
        <f t="shared" ref="L39:L48" si="1">0.218*POWER(2, (A39-20)/10)</f>
        <v>0.51171060573066984</v>
      </c>
    </row>
    <row r="40" spans="1:12" x14ac:dyDescent="0.25">
      <c r="A40" s="1">
        <v>31.69</v>
      </c>
      <c r="B40" s="1">
        <v>0</v>
      </c>
      <c r="L40">
        <f t="shared" si="1"/>
        <v>0.4901856107674773</v>
      </c>
    </row>
    <row r="41" spans="1:12" x14ac:dyDescent="0.25">
      <c r="A41" s="1">
        <v>30.89</v>
      </c>
      <c r="B41" s="1">
        <v>0</v>
      </c>
      <c r="L41">
        <f t="shared" si="1"/>
        <v>0.46374384538142849</v>
      </c>
    </row>
    <row r="42" spans="1:12" x14ac:dyDescent="0.25">
      <c r="A42" s="1">
        <v>30.38</v>
      </c>
      <c r="B42" s="1">
        <v>0</v>
      </c>
      <c r="L42">
        <f t="shared" si="1"/>
        <v>0.44763664193391944</v>
      </c>
    </row>
    <row r="43" spans="1:12" x14ac:dyDescent="0.25">
      <c r="A43" s="1">
        <v>30.34</v>
      </c>
      <c r="B43" s="1">
        <v>0</v>
      </c>
      <c r="L43">
        <f t="shared" si="1"/>
        <v>0.44639724858680085</v>
      </c>
    </row>
    <row r="44" spans="1:12" x14ac:dyDescent="0.25">
      <c r="A44" s="1">
        <v>28.39</v>
      </c>
      <c r="B44" s="1">
        <v>0</v>
      </c>
      <c r="L44">
        <f t="shared" si="1"/>
        <v>0.38996053717721613</v>
      </c>
    </row>
    <row r="45" spans="1:12" x14ac:dyDescent="0.25">
      <c r="A45" s="1">
        <v>29.09</v>
      </c>
      <c r="B45" s="1">
        <v>0</v>
      </c>
      <c r="L45">
        <f t="shared" si="1"/>
        <v>0.40934808182953714</v>
      </c>
    </row>
    <row r="46" spans="1:12" x14ac:dyDescent="0.25">
      <c r="A46" s="1">
        <v>30.05</v>
      </c>
      <c r="B46" s="1">
        <v>0</v>
      </c>
      <c r="L46">
        <f t="shared" si="1"/>
        <v>0.43751368235014321</v>
      </c>
    </row>
    <row r="47" spans="1:12" x14ac:dyDescent="0.25">
      <c r="A47" s="1">
        <v>30.04</v>
      </c>
      <c r="B47" s="1">
        <v>0</v>
      </c>
      <c r="L47">
        <f t="shared" si="1"/>
        <v>0.43721052605286981</v>
      </c>
    </row>
    <row r="48" spans="1:12" x14ac:dyDescent="0.25">
      <c r="A48" s="1">
        <v>29.76</v>
      </c>
      <c r="B48" s="1">
        <v>0</v>
      </c>
      <c r="L48">
        <f t="shared" si="1"/>
        <v>0.42880690427544432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2019-08-21T01:33:45Z</dcterms:modified>
</cp:coreProperties>
</file>